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l24k\Dropbox\FSU\publication\16s education paper\"/>
    </mc:Choice>
  </mc:AlternateContent>
  <xr:revisionPtr revIDLastSave="0" documentId="13_ncr:1_{0261376F-D8B2-4616-ACEA-6A249122A257}" xr6:coauthVersionLast="47" xr6:coauthVersionMax="47" xr10:uidLastSave="{00000000-0000-0000-0000-000000000000}"/>
  <bookViews>
    <workbookView xWindow="-98" yWindow="-98" windowWidth="25396" windowHeight="13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18" i="1"/>
  <c r="F4" i="1"/>
  <c r="F5" i="1"/>
  <c r="F6" i="1"/>
  <c r="F7" i="1"/>
  <c r="F8" i="1"/>
  <c r="F9" i="1"/>
  <c r="F10" i="1"/>
  <c r="F11" i="1"/>
  <c r="F12" i="1"/>
  <c r="F13" i="1"/>
  <c r="F14" i="1"/>
  <c r="E3" i="1"/>
  <c r="F3" i="1" s="1"/>
  <c r="F2" i="1"/>
  <c r="F15" i="1" s="1"/>
</calcChain>
</file>

<file path=xl/sharedStrings.xml><?xml version="1.0" encoding="utf-8"?>
<sst xmlns="http://schemas.openxmlformats.org/spreadsheetml/2006/main" count="53" uniqueCount="48">
  <si>
    <t>reactions</t>
  </si>
  <si>
    <t>M0492L</t>
  </si>
  <si>
    <t>reagents</t>
  </si>
  <si>
    <t>Q5® High-Fidelity 2X Master Mix</t>
  </si>
  <si>
    <t>catalog #</t>
  </si>
  <si>
    <t>vendor</t>
  </si>
  <si>
    <t>New England Biolabs</t>
  </si>
  <si>
    <t>price</t>
  </si>
  <si>
    <t>per sample cost</t>
  </si>
  <si>
    <t>Tris buffer</t>
  </si>
  <si>
    <t xml:space="preserve">Sigma </t>
  </si>
  <si>
    <t>T2194-100ML</t>
  </si>
  <si>
    <t xml:space="preserve">Tween 20 </t>
  </si>
  <si>
    <t>50 mL tube</t>
  </si>
  <si>
    <t>1.5 mL tube</t>
  </si>
  <si>
    <t>PCR tubes</t>
  </si>
  <si>
    <t>Primer</t>
  </si>
  <si>
    <t>Igepal</t>
  </si>
  <si>
    <t>Ampure XP</t>
  </si>
  <si>
    <t>EtOH</t>
  </si>
  <si>
    <t>Tapestation Screen tape</t>
  </si>
  <si>
    <t>MiSeq kit</t>
  </si>
  <si>
    <t xml:space="preserve">Illumina </t>
  </si>
  <si>
    <t xml:space="preserve">calcualted based on 12 Million read per kit, and each sample need at lease 24K reads. </t>
  </si>
  <si>
    <t>Sigma Aldrich</t>
  </si>
  <si>
    <t>P2287100ML
 </t>
  </si>
  <si>
    <t>VWR</t>
  </si>
  <si>
    <t>77587-932</t>
  </si>
  <si>
    <t>76332-064</t>
  </si>
  <si>
    <t>20170-010</t>
  </si>
  <si>
    <t xml:space="preserve">IDT DNA </t>
  </si>
  <si>
    <t xml:space="preserve">custom design </t>
  </si>
  <si>
    <t>Estimated based on IDT 250 nmol oligonucleotide ordering costs at approximately USD 1.49 per base for 24 forward and 16 reverse index primers, along with two 16S primers, with a guaranteed yield of 60 nmol.</t>
  </si>
  <si>
    <t>  IC0219859680</t>
  </si>
  <si>
    <t>MSPP-A63881</t>
  </si>
  <si>
    <t>71001-754</t>
  </si>
  <si>
    <t>WWR</t>
  </si>
  <si>
    <t>Water, Molecular Biology Grade</t>
  </si>
  <si>
    <t>VWRL0201-1000</t>
  </si>
  <si>
    <t>Agilent Technologies</t>
  </si>
  <si>
    <t xml:space="preserve">Estimated cost </t>
  </si>
  <si>
    <t>MS-102-2003</t>
  </si>
  <si>
    <t>If DNA extraction kit was used</t>
  </si>
  <si>
    <t xml:space="preserve">with Direct PCR </t>
  </si>
  <si>
    <t>Power soil DNA extraction kit</t>
  </si>
  <si>
    <t>Qiagen</t>
  </si>
  <si>
    <t>12855-100</t>
  </si>
  <si>
    <t xml:space="preserve">Estimated cost with DNA extraction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</si>
</sst>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20" sqref="A20"/>
    </sheetView>
  </sheetViews>
  <sheetFormatPr defaultRowHeight="14.25" x14ac:dyDescent="0.45"/>
  <cols>
    <col min="1" max="1" width="28.53125" customWidth="1"/>
    <col min="2" max="2" width="22.6640625" customWidth="1"/>
    <col min="3" max="3" width="30.9296875" customWidth="1"/>
    <col min="4" max="4" width="11.73046875" customWidth="1"/>
    <col min="5" max="5" width="11.46484375" customWidth="1"/>
  </cols>
  <sheetData>
    <row r="1" spans="1:7" x14ac:dyDescent="0.45">
      <c r="A1" t="s">
        <v>2</v>
      </c>
      <c r="B1" t="s">
        <v>5</v>
      </c>
      <c r="C1" t="s">
        <v>4</v>
      </c>
      <c r="D1" t="s">
        <v>7</v>
      </c>
      <c r="E1" t="s">
        <v>0</v>
      </c>
      <c r="F1" t="s">
        <v>8</v>
      </c>
    </row>
    <row r="2" spans="1:7" x14ac:dyDescent="0.45">
      <c r="A2" t="s">
        <v>3</v>
      </c>
      <c r="B2" t="s">
        <v>6</v>
      </c>
      <c r="C2" t="s">
        <v>1</v>
      </c>
      <c r="D2">
        <v>898</v>
      </c>
      <c r="E2">
        <v>500</v>
      </c>
      <c r="F2">
        <f>D2/E2*2</f>
        <v>3.5920000000000001</v>
      </c>
    </row>
    <row r="3" spans="1:7" x14ac:dyDescent="0.45">
      <c r="A3" t="s">
        <v>9</v>
      </c>
      <c r="B3" t="s">
        <v>10</v>
      </c>
      <c r="C3" t="s">
        <v>11</v>
      </c>
      <c r="D3">
        <v>40.1</v>
      </c>
      <c r="E3">
        <f>10000/50</f>
        <v>200</v>
      </c>
      <c r="F3">
        <f>D3/E3</f>
        <v>0.20050000000000001</v>
      </c>
    </row>
    <row r="4" spans="1:7" x14ac:dyDescent="0.45">
      <c r="A4" t="s">
        <v>12</v>
      </c>
      <c r="B4" t="s">
        <v>24</v>
      </c>
      <c r="C4" t="s">
        <v>25</v>
      </c>
      <c r="D4">
        <v>66.55</v>
      </c>
      <c r="E4">
        <v>10000</v>
      </c>
      <c r="F4">
        <f t="shared" ref="F4:F14" si="0">D4/E4</f>
        <v>6.6549999999999995E-3</v>
      </c>
    </row>
    <row r="5" spans="1:7" x14ac:dyDescent="0.45">
      <c r="A5" t="s">
        <v>13</v>
      </c>
      <c r="B5" t="s">
        <v>26</v>
      </c>
      <c r="C5" t="s">
        <v>27</v>
      </c>
      <c r="D5">
        <v>98.43</v>
      </c>
      <c r="E5">
        <v>300</v>
      </c>
      <c r="F5">
        <f t="shared" si="0"/>
        <v>0.3281</v>
      </c>
    </row>
    <row r="6" spans="1:7" x14ac:dyDescent="0.45">
      <c r="A6" t="s">
        <v>14</v>
      </c>
      <c r="B6" t="s">
        <v>26</v>
      </c>
      <c r="C6" t="s">
        <v>28</v>
      </c>
      <c r="D6">
        <v>36.770000000000003</v>
      </c>
      <c r="E6">
        <v>500</v>
      </c>
      <c r="F6">
        <f t="shared" si="0"/>
        <v>7.3540000000000008E-2</v>
      </c>
    </row>
    <row r="7" spans="1:7" x14ac:dyDescent="0.45">
      <c r="A7" t="s">
        <v>15</v>
      </c>
      <c r="B7" t="s">
        <v>26</v>
      </c>
      <c r="C7" t="s">
        <v>29</v>
      </c>
      <c r="D7">
        <v>40.590000000000003</v>
      </c>
      <c r="E7">
        <v>1000</v>
      </c>
      <c r="F7">
        <f t="shared" si="0"/>
        <v>4.0590000000000001E-2</v>
      </c>
    </row>
    <row r="8" spans="1:7" x14ac:dyDescent="0.45">
      <c r="A8" t="s">
        <v>16</v>
      </c>
      <c r="B8" t="s">
        <v>30</v>
      </c>
      <c r="C8" t="s">
        <v>31</v>
      </c>
      <c r="D8">
        <v>2503.1999999999998</v>
      </c>
      <c r="E8">
        <v>15000</v>
      </c>
      <c r="F8">
        <f t="shared" si="0"/>
        <v>0.16688</v>
      </c>
      <c r="G8" t="s">
        <v>32</v>
      </c>
    </row>
    <row r="9" spans="1:7" x14ac:dyDescent="0.45">
      <c r="A9" t="s">
        <v>17</v>
      </c>
      <c r="B9" t="s">
        <v>26</v>
      </c>
      <c r="C9" t="s">
        <v>33</v>
      </c>
      <c r="D9">
        <v>79.28</v>
      </c>
      <c r="E9">
        <v>200000</v>
      </c>
      <c r="F9">
        <f t="shared" si="0"/>
        <v>3.9639999999999999E-4</v>
      </c>
    </row>
    <row r="10" spans="1:7" x14ac:dyDescent="0.45">
      <c r="A10" t="s">
        <v>18</v>
      </c>
      <c r="B10" t="s">
        <v>26</v>
      </c>
      <c r="C10" t="s">
        <v>34</v>
      </c>
      <c r="D10">
        <v>2198.5700000000002</v>
      </c>
      <c r="E10">
        <v>1200</v>
      </c>
      <c r="F10">
        <f t="shared" si="0"/>
        <v>1.8321416666666668</v>
      </c>
    </row>
    <row r="11" spans="1:7" x14ac:dyDescent="0.45">
      <c r="A11" t="s">
        <v>19</v>
      </c>
      <c r="B11" t="s">
        <v>36</v>
      </c>
      <c r="C11" t="s">
        <v>35</v>
      </c>
      <c r="D11">
        <v>87.23</v>
      </c>
      <c r="E11">
        <v>10000</v>
      </c>
      <c r="F11">
        <f t="shared" si="0"/>
        <v>8.7229999999999999E-3</v>
      </c>
    </row>
    <row r="12" spans="1:7" x14ac:dyDescent="0.45">
      <c r="A12" t="s">
        <v>37</v>
      </c>
      <c r="B12" t="s">
        <v>26</v>
      </c>
      <c r="C12" t="s">
        <v>38</v>
      </c>
      <c r="D12">
        <v>25.83</v>
      </c>
      <c r="E12">
        <v>1000</v>
      </c>
      <c r="F12">
        <f t="shared" si="0"/>
        <v>2.5829999999999999E-2</v>
      </c>
    </row>
    <row r="13" spans="1:7" x14ac:dyDescent="0.45">
      <c r="A13" t="s">
        <v>20</v>
      </c>
      <c r="B13" t="s">
        <v>39</v>
      </c>
      <c r="C13">
        <v>50675582</v>
      </c>
      <c r="D13">
        <v>344.5</v>
      </c>
      <c r="E13">
        <v>112</v>
      </c>
      <c r="F13">
        <f t="shared" si="0"/>
        <v>3.0758928571428572</v>
      </c>
    </row>
    <row r="14" spans="1:7" x14ac:dyDescent="0.45">
      <c r="A14" t="s">
        <v>21</v>
      </c>
      <c r="B14" t="s">
        <v>22</v>
      </c>
      <c r="C14" t="s">
        <v>41</v>
      </c>
      <c r="D14">
        <v>1661</v>
      </c>
      <c r="E14">
        <v>500</v>
      </c>
      <c r="F14">
        <f t="shared" si="0"/>
        <v>3.3220000000000001</v>
      </c>
      <c r="G14" t="s">
        <v>23</v>
      </c>
    </row>
    <row r="15" spans="1:7" x14ac:dyDescent="0.45">
      <c r="A15" t="s">
        <v>40</v>
      </c>
      <c r="F15">
        <f>SUM(F2:F14)</f>
        <v>12.673248923809524</v>
      </c>
      <c r="G15" t="s">
        <v>43</v>
      </c>
    </row>
    <row r="17" spans="1:6" x14ac:dyDescent="0.45">
      <c r="A17" t="s">
        <v>42</v>
      </c>
    </row>
    <row r="18" spans="1:6" x14ac:dyDescent="0.45">
      <c r="A18" t="s">
        <v>44</v>
      </c>
      <c r="B18" t="s">
        <v>45</v>
      </c>
      <c r="C18" t="s">
        <v>46</v>
      </c>
      <c r="D18">
        <v>694.4</v>
      </c>
      <c r="E18">
        <v>100</v>
      </c>
      <c r="F18">
        <f t="shared" ref="F18" si="1">D18/E18</f>
        <v>6.944</v>
      </c>
    </row>
    <row r="19" spans="1:6" x14ac:dyDescent="0.45">
      <c r="A19" t="s">
        <v>47</v>
      </c>
      <c r="F19">
        <f>F18+SUM(F2:F14)</f>
        <v>19.617248923809523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Xiangpeng Li</dc:creator>
  <cp:lastModifiedBy>Xiangpeng Li</cp:lastModifiedBy>
  <dcterms:created xsi:type="dcterms:W3CDTF">2015-06-05T18:17:20Z</dcterms:created>
  <dcterms:modified xsi:type="dcterms:W3CDTF">2026-05-11T22:50:07Z</dcterms:modified>
</cp:coreProperties>
</file>